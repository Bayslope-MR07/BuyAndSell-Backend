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xr:revisionPtr revIDLastSave="0" documentId="8_{769AE072-B317-44D6-90F2-7380B1827044}" xr6:coauthVersionLast="47" xr6:coauthVersionMax="47" xr10:uidLastSave="{00000000-0000-0000-0000-000000000000}"/>
  <bookViews>
    <workbookView xWindow="0" yWindow="720" windowWidth="19460" windowHeight="11060" xr2:uid="{42E32545-15D0-4735-A948-BAE11D9B705C}"/>
  </bookViews>
  <sheets>
    <sheet name="Trevor" sheetId="4" r:id="rId1"/>
  </sheets>
  <definedNames>
    <definedName name="_xlnm._FilterDatabase" localSheetId="0" hidden="1">Trevor!$B$3:$W$3</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<sst xmlns="http://schemas.openxmlformats.org/spreadsheetml/2006/main" count="94" uniqueCount="53">
  <si>
    <t>S.No.</t>
  </si>
  <si>
    <t>Title</t>
  </si>
  <si>
    <t>Assignee</t>
  </si>
  <si>
    <t>Identification Code | SPOC name</t>
  </si>
  <si>
    <t>Technology</t>
  </si>
  <si>
    <t>Chart Strength</t>
  </si>
  <si>
    <t>Target Company</t>
  </si>
  <si>
    <t xml:space="preserve">Mapping Probability </t>
  </si>
  <si>
    <t>Product Name</t>
  </si>
  <si>
    <t>Product Link</t>
  </si>
  <si>
    <t>Evidence</t>
  </si>
  <si>
    <t>Comments</t>
  </si>
  <si>
    <t>Comment - Future scope/Infringement Likelihood</t>
  </si>
  <si>
    <t>Status | Chetna</t>
  </si>
  <si>
    <t>Low</t>
  </si>
  <si>
    <t>High</t>
  </si>
  <si>
    <t>Complete</t>
  </si>
  <si>
    <t>Patent No.</t>
  </si>
  <si>
    <t xml:space="preserve">Family ID </t>
  </si>
  <si>
    <t>No</t>
  </si>
  <si>
    <t>Yes</t>
  </si>
  <si>
    <t>Reviewed | Saurabh</t>
  </si>
  <si>
    <t>Charts Prepared or Not?</t>
  </si>
  <si>
    <t>Revenue</t>
  </si>
  <si>
    <t>NA</t>
  </si>
  <si>
    <t>Priority Date</t>
  </si>
  <si>
    <t>Expiry date</t>
  </si>
  <si>
    <t>Citations Count</t>
  </si>
  <si>
    <t>US9597486</t>
  </si>
  <si>
    <t>Methods for ameliorating pain and devices for delivering a medicament</t>
  </si>
  <si>
    <t>Tian Xia</t>
  </si>
  <si>
    <t>Trevor</t>
  </si>
  <si>
    <t>Sliding injector | Targeted drug delivery | SPG block | headache- Migraine treatment | catheter system | Medicine Delivery</t>
  </si>
  <si>
    <t>SphenoCath (Dolor Technologies)</t>
  </si>
  <si>
    <t>https://www.regensuppliers.com/sphenocath.html?srsltid=AfmBOoqRafRZTjAgzl2FNAHV2UT_Khir7LqqlE1Rg8ueNDCIgN-gOblY</t>
  </si>
  <si>
    <t>Sphenocath is a flexible intranasal catheter great for injecting biologics into the nasal passage.</t>
  </si>
  <si>
    <t>During our search, we identified SphenoCath of Dolor technologies. It has a flexible inner catheter (injector) with a Luer-lock hub that stays outside the nostril, a curved outer sheath (introducer) that seats in the nose, and the catheter slides from a “parked” position to a treatment position to deliver anesthetic. But the patent also requires a very specific "a stop-bar on the hub that rides along two internal rails in the sheath, letting the syringe barrel move inside the passageway, pre-setting spray angles, and locking depth with a one-way catch". Explicit documentation and videos for SphenoCath show the pre-bent catheter and curved sheath but give no proof of a stop-bar, twin rails, or the syringe barrel sliding into the sheath. Without teardown photos or an IFU diagram confirming those hidden parts, SphenoCath seems to satisfy only the general injector-in-sheath concept, not the patent’s unique rail-and-lock mechanism. Thus, we are recommending this as low claim strength.</t>
  </si>
  <si>
    <t>CUREMED NORDIC</t>
  </si>
  <si>
    <t>Allevio SPG Catheter</t>
  </si>
  <si>
    <t>https://www.cortefrancamedical.it/www.cortefrancamedical.it/documents/Allevio_brochure_English.pdf</t>
  </si>
  <si>
    <t>1) Allevio® nerve block catheter consists of two plastic catheters</t>
  </si>
  <si>
    <t>During our analysis, we identified the Allevio SPG Nerve-Block Catheter as relevant to the patent. The Allevio device utilizes an outer curved guide, which functions as an introducer, designed to seat within a nostril. It includes an inner flexible catheter, serving as the injector, which begins in a 'parked' or retracted position and is subsequently advanced to deliver anesthetic to the sphenopalatine ganglion (SPG). This design satisfies the patent claim's fundamental 'injector-in-passageway' and 'storage-to-engaging' requirements.</t>
  </si>
  <si>
    <t>US8905980</t>
  </si>
  <si>
    <t>Devices for delivering a medicament and methods for ameliorating pain</t>
  </si>
  <si>
    <t>complete</t>
  </si>
  <si>
    <t>During our search we identified SphenoCath (Dolor Technologies).  has a flexible inner catheter (injector) with a Luer-lock hub that stays outside the nostril, a curved outer sheath (introducer) that seats in the nose, and the catheter slides from a “parked” position to a treatment position to deliver anesthetic matching the claim’s injector-in-passageway and storage-to-engaging ideas. The curved sheath also satisfies the “curvature” element and the SphenoCath is attached to a syringe for medicament delivery.</t>
  </si>
  <si>
    <t>However, the reference does not seem to disclose that the introducer has curvature to retain the shape of the catheter.</t>
  </si>
  <si>
    <t>During our search, we identified Allevio SPG Nerve-Block Catheter.  The Allevio device utilizes an outer curved guide, which functions as an introducer, designed to seat within a nostril. It includes an inner flexible catheter, serving as the injector, which begins in a 'parked' or retracted position and is subsequently advanced to deliver anesthetic to the sphenopalatine ganglion (SPG). This design satisfies the patent claim's fundamental 'injector-in-passageway' and 'storage-to-engaging' requirements.</t>
  </si>
  <si>
    <t>US8231588</t>
  </si>
  <si>
    <t>Sphenocath is a flexible intranasal catheter great for injecting biologics into the nasal passage.
1)The SphenoCath Applicator is a nonspecific trans-nasal drug delivery device.  It is the only nasal catheter device that can safely and accurately deliver medication over the middle turbinate, to the middle meatus, which facilitates lateral diffusion and egress into the pterygopalatine fossa. (Where  V2  and the Sphenopalitine ganglion reside ).
Note: I have also find Dolor technologies patent which defines about sphenocath US8388600B1</t>
  </si>
  <si>
    <t>https://www.regensuppliers.com/sphenocath.html?srsltid=AfmBOoqRafRZTjAgzl2FNAHV2UT_Khir7LqqlE1Rg8ueNDCIgN-gOblY
https://www.ohioafp.org/wp-content/uploads/SphenoCath_Presentation.pdf</t>
  </si>
  <si>
    <t>1) Allevio® nerve block catheter consists of two plastic catheters inserted into each other.
When used, the internal catheter is automatically bent so that it enters the back of the nose, Sphenopalatina (SPG). The purpose is to block the SPG ganglion. A 4% local anesthesia is injected through the catheter.
2)This is how to perform the treatment on a patient</t>
  </si>
  <si>
    <t>https://www.cortefrancamedical.it/www.cortefrancamedical.it/documents/Allevio_brochure_English.pdf
https://momentum-medical.com/wp-content/uploads/2017/12/Allevio-w-Guidewire-Sell-Sheet-PN2575A.pdf
https://www.ohioafp.org/wp-content/uploads/SphenoCath_Presentation.pdf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</si>
</sst>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C00000"/>
      <name val="Calibri"/>
      <family val="2"/>
    </font>
    <font>
      <u/>
      <sz val="11"/>
      <color theme="10"/>
      <name val="Calibri"/>
      <family val="2"/>
      <scheme val="minor"/>
    </font>
    <font>
      <sz val="11"/>
      <color rgb="FF000000"/>
      <name val="Calibri"/>
      <family val="2"/>
      <scheme val="minor"/>
    </font>
    <font>
      <b/>
      <sz val="11"/>
      <color rgb="FFC00000"/>
      <name val="Calibri"/>
      <family val="2"/>
      <scheme val="minor"/>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C6E0B4"/>
        <bgColor rgb="FF000000"/>
      </patternFill>
    </fill>
  </fills>
  <borders count="1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0" fillId="0" borderId="0" xfId="0" applyAlignment="1">
      <alignment horizontal="center" vertical="center"/>
    </xf>
    <xf numFmtId="0" fontId="2" fillId="0" borderId="3" xfId="1" applyBorder="1" applyAlignment="1">
      <alignment horizontal="center" vertical="center" wrapText="1"/>
    </xf>
    <xf numFmtId="0" fontId="3" fillId="0" borderId="6" xfId="0" applyFont="1" applyBorder="1" applyAlignment="1">
      <alignment horizontal="center" vertical="top"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0" borderId="1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center" vertical="top" wrapText="1"/>
    </xf>
    <xf numFmtId="0" fontId="3" fillId="0" borderId="2" xfId="0" applyFont="1" applyBorder="1" applyAlignment="1">
      <alignment horizontal="center" vertical="center" wrapText="1"/>
    </xf>
    <xf numFmtId="0" fontId="3" fillId="0" borderId="2" xfId="0" applyFont="1" applyBorder="1" applyAlignment="1">
      <alignment horizontal="center" vertical="top" wrapText="1"/>
    </xf>
    <xf numFmtId="0" fontId="3" fillId="0" borderId="4" xfId="0" applyFont="1" applyBorder="1" applyAlignment="1">
      <alignment horizontal="center" vertical="top" wrapText="1"/>
    </xf>
    <xf numFmtId="0" fontId="4" fillId="0" borderId="11" xfId="0" applyFont="1" applyBorder="1" applyAlignment="1">
      <alignment horizontal="center" vertical="center" wrapText="1"/>
    </xf>
    <xf numFmtId="0" fontId="4" fillId="0" borderId="8" xfId="0" applyFont="1" applyBorder="1" applyAlignment="1">
      <alignment horizontal="center" vertical="center" wrapText="1"/>
    </xf>
    <xf numFmtId="0" fontId="3" fillId="4"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3" fillId="0" borderId="15" xfId="0" applyFont="1" applyBorder="1" applyAlignment="1">
      <alignment horizontal="center" vertical="center" wrapText="1"/>
    </xf>
    <xf numFmtId="14" fontId="3" fillId="0" borderId="10" xfId="0" applyNumberFormat="1" applyFont="1" applyBorder="1" applyAlignment="1">
      <alignment horizontal="center" vertical="center" wrapText="1"/>
    </xf>
    <xf numFmtId="14" fontId="3" fillId="0" borderId="7" xfId="0" applyNumberFormat="1" applyFont="1" applyBorder="1" applyAlignment="1">
      <alignment horizontal="center" vertical="center" wrapText="1"/>
    </xf>
    <xf numFmtId="14" fontId="3" fillId="0" borderId="6" xfId="0" applyNumberFormat="1" applyFont="1" applyBorder="1" applyAlignment="1">
      <alignment horizontal="center" vertical="center" wrapText="1"/>
    </xf>
    <xf numFmtId="14" fontId="3" fillId="0" borderId="15" xfId="0" applyNumberFormat="1" applyFont="1" applyBorder="1" applyAlignment="1">
      <alignment horizontal="center"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ortefrancamedical.it/www.cortefrancamedical.it/documents/Allevio_brochure_English.pdf" TargetMode="External"/><Relationship Id="rId1" Type="http://schemas.openxmlformats.org/officeDocument/2006/relationships/hyperlink" Target="https://www.cortefrancamedical.it/www.cortefrancamedical.it/documents/Allevio_brochure_English.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0561-1505-4518-9FF3-71A53FEB81C4}">
  <dimension ref="B1:W10"/>
  <sheetViews>
    <sheetView showGridLines="0" tabSelected="1" zoomScale="40" zoomScaleNormal="40" workbookViewId="0">
      <pane xSplit="3" ySplit="3" topLeftCell="F4" activePane="bottomRight" state="frozen"/>
      <selection pane="topRight" activeCell="D1" sqref="D1"/>
      <selection pane="bottomLeft" activeCell="A4" sqref="A4"/>
      <selection pane="bottomRight" activeCell="C8" sqref="C8:C9"/>
    </sheetView>
  </sheetViews>
  <sheetFormatPr defaultRowHeight="14.5" x14ac:dyDescent="0.35"/>
  <cols>
    <col min="3" max="10" width="41.6328125" style="1" customWidth="1"/>
    <col min="11" max="23" width="41.6328125" customWidth="1"/>
  </cols>
  <sheetData>
    <row r="1" spans="2:23" x14ac:dyDescent="0.35">
      <c r="C1"/>
      <c r="D1"/>
      <c r="E1"/>
      <c r="G1"/>
      <c r="H1"/>
      <c r="I1"/>
      <c r="J1"/>
    </row>
    <row r="2" spans="2:23" ht="15" thickBot="1" x14ac:dyDescent="0.4">
      <c r="C2"/>
      <c r="D2"/>
      <c r="E2"/>
      <c r="G2"/>
      <c r="H2"/>
      <c r="I2"/>
      <c r="J2"/>
    </row>
    <row r="3" spans="2:23" ht="50" customHeight="1" thickBot="1" x14ac:dyDescent="0.4">
      <c r="B3" s="4" t="s">
        <v>0</v>
      </c>
      <c r="C3" s="5" t="s">
        <v>17</v>
      </c>
      <c r="D3" s="5" t="s">
        <v>18</v>
      </c>
      <c r="E3" s="5" t="s">
        <v>1</v>
      </c>
      <c r="F3" s="5" t="s">
        <v>2</v>
      </c>
      <c r="G3" s="5" t="s">
        <v>25</v>
      </c>
      <c r="H3" s="5" t="s">
        <v>26</v>
      </c>
      <c r="I3" s="5" t="s">
        <v>27</v>
      </c>
      <c r="J3" s="6" t="s">
        <v>3</v>
      </c>
      <c r="K3" s="6" t="s">
        <v>13</v>
      </c>
      <c r="L3" s="6" t="s">
        <v>21</v>
      </c>
      <c r="M3" s="7" t="s">
        <v>4</v>
      </c>
      <c r="N3" s="8" t="s">
        <v>6</v>
      </c>
      <c r="O3" s="9" t="s">
        <v>7</v>
      </c>
      <c r="P3" s="5" t="s">
        <v>22</v>
      </c>
      <c r="Q3" s="5" t="s">
        <v>5</v>
      </c>
      <c r="R3" s="10" t="s">
        <v>8</v>
      </c>
      <c r="S3" s="5" t="s">
        <v>9</v>
      </c>
      <c r="T3" s="5" t="s">
        <v>23</v>
      </c>
      <c r="U3" s="5" t="s">
        <v>10</v>
      </c>
      <c r="V3" s="8" t="s">
        <v>11</v>
      </c>
      <c r="W3" s="9" t="s">
        <v>12</v>
      </c>
    </row>
    <row r="4" spans="2:23" ht="30" customHeight="1" x14ac:dyDescent="0.35">
      <c r="B4" s="25">
        <v>1</v>
      </c>
      <c r="C4" s="20" t="s">
        <v>28</v>
      </c>
      <c r="D4" s="20">
        <v>281986242</v>
      </c>
      <c r="E4" s="20" t="s">
        <v>29</v>
      </c>
      <c r="F4" s="20" t="s">
        <v>30</v>
      </c>
      <c r="G4" s="28">
        <v>40497</v>
      </c>
      <c r="H4" s="28">
        <v>48122</v>
      </c>
      <c r="I4" s="24">
        <v>19</v>
      </c>
      <c r="J4" s="20" t="s">
        <v>31</v>
      </c>
      <c r="K4" s="13" t="s">
        <v>16</v>
      </c>
      <c r="L4" s="13" t="s">
        <v>16</v>
      </c>
      <c r="M4" s="20" t="s">
        <v>32</v>
      </c>
      <c r="N4" s="13" t="s">
        <v>33</v>
      </c>
      <c r="O4" s="13" t="s">
        <v>14</v>
      </c>
      <c r="P4" s="13" t="s">
        <v>19</v>
      </c>
      <c r="Q4" s="13" t="s">
        <v>24</v>
      </c>
      <c r="R4" s="13" t="s">
        <v>33</v>
      </c>
      <c r="S4" s="13" t="s">
        <v>50</v>
      </c>
      <c r="T4" s="13"/>
      <c r="U4" s="14" t="s">
        <v>49</v>
      </c>
      <c r="V4" s="14" t="s">
        <v>36</v>
      </c>
      <c r="W4" s="16"/>
    </row>
    <row r="5" spans="2:23" ht="30" customHeight="1" thickBot="1" x14ac:dyDescent="0.4">
      <c r="B5" s="26"/>
      <c r="C5" s="21"/>
      <c r="D5" s="21"/>
      <c r="E5" s="21"/>
      <c r="F5" s="21"/>
      <c r="G5" s="29"/>
      <c r="H5" s="29"/>
      <c r="I5" s="23"/>
      <c r="J5" s="21"/>
      <c r="K5" s="11" t="s">
        <v>16</v>
      </c>
      <c r="L5" s="11" t="s">
        <v>16</v>
      </c>
      <c r="M5" s="21"/>
      <c r="N5" s="11" t="s">
        <v>37</v>
      </c>
      <c r="O5" s="11" t="s">
        <v>14</v>
      </c>
      <c r="P5" s="11" t="s">
        <v>19</v>
      </c>
      <c r="Q5" s="11" t="s">
        <v>24</v>
      </c>
      <c r="R5" s="11" t="s">
        <v>38</v>
      </c>
      <c r="S5" s="2" t="s">
        <v>52</v>
      </c>
      <c r="T5" s="11"/>
      <c r="U5" s="12" t="s">
        <v>51</v>
      </c>
      <c r="V5" s="15" t="s">
        <v>41</v>
      </c>
      <c r="W5" s="17"/>
    </row>
    <row r="6" spans="2:23" ht="30" customHeight="1" x14ac:dyDescent="0.35">
      <c r="B6" s="26">
        <v>2</v>
      </c>
      <c r="C6" s="21" t="s">
        <v>42</v>
      </c>
      <c r="D6" s="21">
        <v>281986242</v>
      </c>
      <c r="E6" s="21" t="s">
        <v>43</v>
      </c>
      <c r="F6" s="21" t="s">
        <v>30</v>
      </c>
      <c r="G6" s="30">
        <v>39661</v>
      </c>
      <c r="H6" s="30">
        <v>47485</v>
      </c>
      <c r="I6" s="22">
        <v>41</v>
      </c>
      <c r="J6" s="21" t="s">
        <v>31</v>
      </c>
      <c r="K6" s="11" t="s">
        <v>44</v>
      </c>
      <c r="L6" s="11" t="s">
        <v>16</v>
      </c>
      <c r="M6" s="21"/>
      <c r="N6" s="11" t="s">
        <v>33</v>
      </c>
      <c r="O6" s="11" t="s">
        <v>15</v>
      </c>
      <c r="P6" s="18" t="s">
        <v>20</v>
      </c>
      <c r="Q6" s="11" t="s">
        <v>14</v>
      </c>
      <c r="R6" s="11" t="s">
        <v>33</v>
      </c>
      <c r="S6" s="11" t="s">
        <v>34</v>
      </c>
      <c r="T6" s="19"/>
      <c r="U6" s="12" t="s">
        <v>35</v>
      </c>
      <c r="V6" s="12" t="s">
        <v>45</v>
      </c>
      <c r="W6" s="17"/>
    </row>
    <row r="7" spans="2:23" ht="31.5" customHeight="1" x14ac:dyDescent="0.35">
      <c r="B7" s="26"/>
      <c r="C7" s="21"/>
      <c r="D7" s="21"/>
      <c r="E7" s="21"/>
      <c r="F7" s="21"/>
      <c r="G7" s="29"/>
      <c r="H7" s="29"/>
      <c r="I7" s="23"/>
      <c r="J7" s="21"/>
      <c r="K7" s="11" t="s">
        <v>16</v>
      </c>
      <c r="L7" s="11" t="s">
        <v>16</v>
      </c>
      <c r="M7" s="21"/>
      <c r="N7" s="11" t="s">
        <v>37</v>
      </c>
      <c r="O7" s="11" t="s">
        <v>15</v>
      </c>
      <c r="P7" s="18" t="s">
        <v>20</v>
      </c>
      <c r="Q7" s="11" t="s">
        <v>14</v>
      </c>
      <c r="R7" s="11" t="s">
        <v>38</v>
      </c>
      <c r="S7" s="11" t="s">
        <v>39</v>
      </c>
      <c r="T7" s="19"/>
      <c r="U7" s="12" t="s">
        <v>40</v>
      </c>
      <c r="V7" s="12" t="s">
        <v>46</v>
      </c>
      <c r="W7" s="17"/>
    </row>
    <row r="8" spans="2:23" ht="30" customHeight="1" x14ac:dyDescent="0.35">
      <c r="B8" s="26">
        <v>3</v>
      </c>
      <c r="C8" s="21" t="s">
        <v>48</v>
      </c>
      <c r="D8" s="21">
        <v>281986242</v>
      </c>
      <c r="E8" s="21" t="s">
        <v>29</v>
      </c>
      <c r="F8" s="21" t="s">
        <v>30</v>
      </c>
      <c r="G8" s="30">
        <v>39661</v>
      </c>
      <c r="H8" s="30">
        <v>47511</v>
      </c>
      <c r="I8" s="22">
        <v>75</v>
      </c>
      <c r="J8" s="21" t="s">
        <v>31</v>
      </c>
      <c r="K8" s="21" t="s">
        <v>44</v>
      </c>
      <c r="L8" s="11" t="s">
        <v>16</v>
      </c>
      <c r="M8" s="21"/>
      <c r="N8" s="11" t="s">
        <v>33</v>
      </c>
      <c r="O8" s="11" t="s">
        <v>15</v>
      </c>
      <c r="P8" s="18" t="s">
        <v>20</v>
      </c>
      <c r="Q8" s="11" t="s">
        <v>15</v>
      </c>
      <c r="R8" s="11" t="s">
        <v>33</v>
      </c>
      <c r="S8" s="11" t="s">
        <v>34</v>
      </c>
      <c r="T8" s="11"/>
      <c r="U8" s="12" t="s">
        <v>35</v>
      </c>
      <c r="V8" s="3" t="s">
        <v>47</v>
      </c>
      <c r="W8" s="17"/>
    </row>
    <row r="9" spans="2:23" ht="30" customHeight="1" x14ac:dyDescent="0.35">
      <c r="B9" s="26"/>
      <c r="C9" s="21"/>
      <c r="D9" s="21"/>
      <c r="E9" s="21"/>
      <c r="F9" s="21"/>
      <c r="G9" s="31"/>
      <c r="H9" s="31">
        <v>47511</v>
      </c>
      <c r="I9" s="27"/>
      <c r="J9" s="21"/>
      <c r="K9" s="21"/>
      <c r="L9" s="11" t="s">
        <v>16</v>
      </c>
      <c r="M9" s="21"/>
      <c r="N9" s="11" t="s">
        <v>37</v>
      </c>
      <c r="O9" s="11" t="s">
        <v>15</v>
      </c>
      <c r="P9" s="18" t="s">
        <v>20</v>
      </c>
      <c r="Q9" s="11" t="s">
        <v>15</v>
      </c>
      <c r="R9" s="11" t="s">
        <v>38</v>
      </c>
      <c r="S9" s="2" t="s">
        <v>39</v>
      </c>
      <c r="T9" s="11"/>
      <c r="U9" s="12" t="s">
        <v>40</v>
      </c>
      <c r="V9" s="3" t="s">
        <v>46</v>
      </c>
      <c r="W9" s="17"/>
    </row>
    <row r="10" spans="2:23" ht="30" customHeight="1" x14ac:dyDescent="0.35"/>
  </sheetData>
  <autoFilter ref="B3:W3" xr:uid="{E2180561-1505-4518-9FF3-71A53FEB81C4}"/>
  <mergeCells count="29">
    <mergeCell ref="I8:I9"/>
    <mergeCell ref="G4:G5"/>
    <mergeCell ref="H4:H5"/>
    <mergeCell ref="G6:G7"/>
    <mergeCell ref="H6:H7"/>
    <mergeCell ref="G8:G9"/>
    <mergeCell ref="H8:H9"/>
    <mergeCell ref="D8:D9"/>
    <mergeCell ref="E8:E9"/>
    <mergeCell ref="F8:F9"/>
    <mergeCell ref="B4:B5"/>
    <mergeCell ref="B6:B7"/>
    <mergeCell ref="B8:B9"/>
    <mergeCell ref="M4:M9"/>
    <mergeCell ref="C6:C7"/>
    <mergeCell ref="D6:D7"/>
    <mergeCell ref="E6:E7"/>
    <mergeCell ref="F6:F7"/>
    <mergeCell ref="I6:I7"/>
    <mergeCell ref="J6:J7"/>
    <mergeCell ref="I4:I5"/>
    <mergeCell ref="C4:C5"/>
    <mergeCell ref="D4:D5"/>
    <mergeCell ref="E4:E5"/>
    <mergeCell ref="F4:F5"/>
    <mergeCell ref="J4:J5"/>
    <mergeCell ref="J8:J9"/>
    <mergeCell ref="K8:K9"/>
    <mergeCell ref="C8:C9"/>
  </mergeCells>
  <conditionalFormatting sqref="C3">
    <cfRule type="duplicateValues" dxfId="0" priority="10"/>
  </conditionalFormatting>
  <hyperlinks>
    <hyperlink ref="S5" r:id="rId1" display="https://www.cortefrancamedical.it/www.cortefrancamedical.it/documents/Allevio_brochure_English.pdf" xr:uid="{E5A64138-31CC-4E8E-BE7B-AD59B3EEB3B4}"/>
    <hyperlink ref="S9" r:id="rId2" xr:uid="{F4F7EF27-4B0B-4833-ADFB-2EEE1A0DCDC1}"/>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Trevor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Mayank rawat</cp:lastModifiedBy>
  <dcterms:created xsi:type="dcterms:W3CDTF">2025-06-20T09:42:23Z</dcterms:created>
  <dcterms:modified xsi:type="dcterms:W3CDTF">2025-09-04T12:28:07Z</dcterms:modified>
</cp:coreProperties>
</file>